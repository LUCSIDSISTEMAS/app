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vbaProject.bin" ContentType="application/vnd.ms-office.vbaPro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 codeName="{00000000-0000-0000-0000-000000000000}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b2c428f032ec2f/"/>
    </mc:Choice>
  </mc:AlternateContent>
  <xr:revisionPtr revIDLastSave="0" documentId="8_{5E489A92-47AB-4E75-9168-EA9027D827D3}" xr6:coauthVersionLast="47" xr6:coauthVersionMax="47" xr10:uidLastSave="{00000000-0000-0000-0000-000000000000}"/>
  <bookViews>
    <workbookView xWindow="-120" yWindow="-120" windowWidth="24240" windowHeight="13020" firstSheet="2" activeTab="2" xr2:uid="{00000000-000D-0000-FFFF-FFFF00000000}"/>
  </bookViews>
  <sheets>
    <sheet name="Planilha1" sheetId="1" state="hidden" r:id="rId1"/>
    <sheet name="Planilha2" sheetId="2" r:id="rId2"/>
    <sheet name="Planilha4" sheetId="4" r:id="rId3"/>
  </sheets>
  <definedNames>
    <definedName name="_xleta.AND" hidden="1" xlm="1">#NAME?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" i="2" l="1"/>
  <c r="C65" i="4"/>
  <c r="C50" i="4"/>
  <c r="C49" i="4"/>
  <c r="C48" i="4"/>
  <c r="C44" i="4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8" i="4"/>
  <c r="C10" i="4"/>
  <c r="C9" i="4"/>
  <c r="C35" i="4"/>
  <c r="C2" i="4"/>
  <c r="H2" i="4" s="1"/>
  <c r="C8" i="2"/>
  <c r="C26" i="2"/>
  <c r="C25" i="2"/>
  <c r="C24" i="2"/>
  <c r="C23" i="2"/>
  <c r="C22" i="2"/>
  <c r="C21" i="2"/>
  <c r="C20" i="2"/>
  <c r="C14" i="2"/>
  <c r="C15" i="2"/>
  <c r="C16" i="2"/>
  <c r="C17" i="2"/>
  <c r="C13" i="2"/>
  <c r="C10" i="2"/>
  <c r="C5" i="2"/>
  <c r="C7" i="2"/>
  <c r="C11" i="2"/>
  <c r="C12" i="2"/>
  <c r="C18" i="2"/>
  <c r="C27" i="2"/>
  <c r="C28" i="2"/>
  <c r="C29" i="2"/>
  <c r="C29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30" i="1"/>
</calcChain>
</file>

<file path=xl/sharedStrings.xml><?xml version="1.0" encoding="utf-8"?>
<sst xmlns="http://schemas.openxmlformats.org/spreadsheetml/2006/main" count="287" uniqueCount="92">
  <si>
    <t>PLANILHA DE ALMOXARIFADO ORION</t>
  </si>
  <si>
    <t>ITENS</t>
  </si>
  <si>
    <t>QNTD</t>
  </si>
  <si>
    <t>Situação</t>
  </si>
  <si>
    <t>Planilha De Almoxarifado Orion</t>
  </si>
  <si>
    <t>Itens</t>
  </si>
  <si>
    <t>Qntd</t>
  </si>
  <si>
    <t>Bateria Elgin 9V</t>
  </si>
  <si>
    <t xml:space="preserve">Motor </t>
  </si>
  <si>
    <t>Servo Motor</t>
  </si>
  <si>
    <t>Ponte H</t>
  </si>
  <si>
    <t>Arduino</t>
  </si>
  <si>
    <t>Estável</t>
  </si>
  <si>
    <t>Reg. Tensao</t>
  </si>
  <si>
    <t>Controle PS4</t>
  </si>
  <si>
    <t>Motor Comun</t>
  </si>
  <si>
    <t>Sensor Ultrasonico</t>
  </si>
  <si>
    <t>Sensor Microfone</t>
  </si>
  <si>
    <t>Sensor Infravermelho</t>
  </si>
  <si>
    <t>Sensor de presença</t>
  </si>
  <si>
    <t>Ferro de solda</t>
  </si>
  <si>
    <t>Protoboard</t>
  </si>
  <si>
    <t>Alicate</t>
  </si>
  <si>
    <t>Trena</t>
  </si>
  <si>
    <t>Cola Instantanea</t>
  </si>
  <si>
    <t>Solda</t>
  </si>
  <si>
    <t>Eixo</t>
  </si>
  <si>
    <t>Dupla face</t>
  </si>
  <si>
    <t>Tesoura</t>
  </si>
  <si>
    <t>Leitor de disco</t>
  </si>
  <si>
    <t>Fita isolante</t>
  </si>
  <si>
    <t>Bateria Rec 3.7v Romaz</t>
  </si>
  <si>
    <t>Esp 32</t>
  </si>
  <si>
    <t>Adaptador De Term ESP</t>
  </si>
  <si>
    <t>Tesoura 25 Cm</t>
  </si>
  <si>
    <t>Avental Impermeavel</t>
  </si>
  <si>
    <t>Cabo De Rede 100M 5.e</t>
  </si>
  <si>
    <t>Conector De Pilha</t>
  </si>
  <si>
    <t>Mini USB</t>
  </si>
  <si>
    <t>Martelo</t>
  </si>
  <si>
    <t>Oculos De Proteção</t>
  </si>
  <si>
    <t>Marreta</t>
  </si>
  <si>
    <t>Serrote</t>
  </si>
  <si>
    <t>Serrinha</t>
  </si>
  <si>
    <t>Clinpador</t>
  </si>
  <si>
    <t>Suporte Para Ferro D Sold</t>
  </si>
  <si>
    <t>Roda Dentada</t>
  </si>
  <si>
    <t>Enforca Gato</t>
  </si>
  <si>
    <t>Micro Retifica</t>
  </si>
  <si>
    <t>Disco Retifica</t>
  </si>
  <si>
    <t xml:space="preserve">Jammer </t>
  </si>
  <si>
    <t>Bateria 18650</t>
  </si>
  <si>
    <t>Omnidirecional</t>
  </si>
  <si>
    <t>Filamento PETG 1kg</t>
  </si>
  <si>
    <t>Item</t>
  </si>
  <si>
    <t>Marca</t>
  </si>
  <si>
    <t>Preço</t>
  </si>
  <si>
    <t>Loja</t>
  </si>
  <si>
    <t>Link</t>
  </si>
  <si>
    <t>Total Tudo</t>
  </si>
  <si>
    <t>Bateria 18650 3.7v P:8 2x</t>
  </si>
  <si>
    <t>Sanyo</t>
  </si>
  <si>
    <t>Mercado Livre</t>
  </si>
  <si>
    <t>LINK</t>
  </si>
  <si>
    <t>N/A</t>
  </si>
  <si>
    <t>Amazon</t>
  </si>
  <si>
    <t>Shopee</t>
  </si>
  <si>
    <t>Eletrogate</t>
  </si>
  <si>
    <t>Kit Com Rodas OmniDirecionais 2x</t>
  </si>
  <si>
    <t>Mecanum</t>
  </si>
  <si>
    <t>Maker Hero</t>
  </si>
  <si>
    <t>Solda De Estanho</t>
  </si>
  <si>
    <t>Cobix</t>
  </si>
  <si>
    <t xml:space="preserve"> LINK </t>
  </si>
  <si>
    <t>Trofeu de Acrilico</t>
  </si>
  <si>
    <t>Medalha De Acrilico C/Fita P/50</t>
  </si>
  <si>
    <t>Led Portatil RGB</t>
  </si>
  <si>
    <t>M160</t>
  </si>
  <si>
    <t>Kit Microretifica + Acessorios</t>
  </si>
  <si>
    <t>Philco</t>
  </si>
  <si>
    <t>Estação de Retrabalho 2 em 1 (Ar Quente + Ferro de Solda)</t>
  </si>
  <si>
    <t>Genérica</t>
  </si>
  <si>
    <t>Dobevi</t>
  </si>
  <si>
    <t>Tripe Estabilizador</t>
  </si>
  <si>
    <t>Generica</t>
  </si>
  <si>
    <t>Kabum</t>
  </si>
  <si>
    <t>Kit Jumper 2x40</t>
  </si>
  <si>
    <t>Magalu</t>
  </si>
  <si>
    <t>ESP32</t>
  </si>
  <si>
    <t>Servo Motor Pequeno Kit Com 5</t>
  </si>
  <si>
    <t>Fita Hellerman Kit com 40 :  5x</t>
  </si>
  <si>
    <t>Fita Hellerman Kit com 40 :  2x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</si>
</sst>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10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sz val="11"/>
      <color rgb="FF000000"/>
      <name val="Calibri"/>
      <scheme val="minor"/>
    </font>
    <font>
      <sz val="24"/>
      <color theme="1"/>
      <name val="Aptos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0" xfId="0" applyFont="1" applyAlignment="1">
      <alignment vertical="center"/>
    </xf>
    <xf numFmtId="0" fontId="0" fillId="0" borderId="2" xfId="0" applyBorder="1"/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4" fillId="0" borderId="0" xfId="0" applyFont="1"/>
    <xf numFmtId="0" fontId="0" fillId="0" borderId="3" xfId="0" applyBorder="1"/>
    <xf numFmtId="0" fontId="0" fillId="0" borderId="4" xfId="0" applyBorder="1"/>
    <xf numFmtId="0" fontId="0" fillId="0" borderId="2" xfId="0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164" fontId="0" fillId="0" borderId="0" xfId="0" applyNumberFormat="1"/>
    <xf numFmtId="0" fontId="6" fillId="0" borderId="7" xfId="0" applyFont="1" applyBorder="1" applyAlignment="1">
      <alignment horizontal="center" vertical="center"/>
    </xf>
    <xf numFmtId="164" fontId="0" fillId="0" borderId="2" xfId="0" applyNumberFormat="1" applyBorder="1"/>
    <xf numFmtId="164" fontId="0" fillId="0" borderId="2" xfId="0" applyNumberFormat="1" applyFont="1" applyBorder="1" applyAlignment="1">
      <alignment horizontal="left" vertical="center"/>
    </xf>
    <xf numFmtId="164" fontId="7" fillId="0" borderId="2" xfId="1" applyNumberFormat="1" applyFont="1" applyBorder="1" applyAlignment="1">
      <alignment horizontal="left" vertical="center"/>
    </xf>
    <xf numFmtId="164" fontId="9" fillId="5" borderId="7" xfId="0" applyNumberFormat="1" applyFont="1" applyFill="1" applyBorder="1" applyAlignment="1">
      <alignment horizontal="left" vertical="center"/>
    </xf>
    <xf numFmtId="164" fontId="0" fillId="0" borderId="0" xfId="0" applyNumberFormat="1" applyFont="1" applyAlignment="1">
      <alignment horizontal="left" vertical="center"/>
    </xf>
    <xf numFmtId="164" fontId="9" fillId="5" borderId="2" xfId="0" applyNumberFormat="1" applyFont="1" applyFill="1" applyBorder="1" applyAlignment="1">
      <alignment horizontal="left" vertical="center"/>
    </xf>
    <xf numFmtId="164" fontId="7" fillId="0" borderId="2" xfId="1" applyNumberFormat="1" applyFont="1" applyFill="1" applyBorder="1" applyAlignment="1">
      <alignment horizontal="left" vertical="center"/>
    </xf>
    <xf numFmtId="164" fontId="0" fillId="2" borderId="2" xfId="0" applyNumberFormat="1" applyFont="1" applyFill="1" applyBorder="1" applyAlignment="1">
      <alignment horizontal="left" vertical="center"/>
    </xf>
    <xf numFmtId="164" fontId="7" fillId="2" borderId="17" xfId="1" applyNumberFormat="1" applyFont="1" applyFill="1" applyBorder="1" applyAlignment="1">
      <alignment horizontal="left" vertical="center"/>
    </xf>
    <xf numFmtId="0" fontId="8" fillId="3" borderId="2" xfId="0" applyFont="1" applyFill="1" applyBorder="1"/>
    <xf numFmtId="164" fontId="7" fillId="0" borderId="2" xfId="1" applyNumberForma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13">
    <dxf>
      <font>
        <sz val="12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left style="thin">
          <color rgb="FF000000"/>
        </left>
      </border>
    </dxf>
    <dxf>
      <font>
        <sz val="12"/>
      </font>
      <alignment horizontal="center" vertical="center"/>
    </dxf>
    <dxf>
      <alignment horizontal="center"/>
    </dxf>
    <dxf>
      <font>
        <color theme="0"/>
      </font>
      <fill>
        <patternFill patternType="solid">
          <bgColor rgb="FF002060"/>
        </patternFill>
      </fill>
    </dxf>
    <dxf>
      <numFmt numFmtId="0" formatCode="General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6/relationships/vbaProject" Target="vbaProject.bin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390525</xdr:colOff>
      <xdr:row>6</xdr:row>
      <xdr:rowOff>85725</xdr:rowOff>
    </xdr:from>
    <xdr:to>
      <xdr:col>14</xdr:col>
      <xdr:colOff>57150</xdr:colOff>
      <xdr:row>11</xdr:row>
      <xdr:rowOff>19050</xdr:rowOff>
    </xdr:to>
    <xdr:sp macro="[0]!SaidaEstoque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5310C48E-0803-79CA-1BC6-87A37FD1F65C}"/>
            </a:ext>
          </a:extLst>
        </xdr:cNvPr>
        <xdr:cNvSpPr/>
      </xdr:nvSpPr>
      <xdr:spPr>
        <a:xfrm>
          <a:off x="8048625" y="1247775"/>
          <a:ext cx="3324225" cy="933450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4800"/>
            <a:t>SAIDA</a:t>
          </a:r>
        </a:p>
      </xdr:txBody>
    </xdr:sp>
    <xdr:clientData/>
  </xdr:twoCellAnchor>
  <xdr:twoCellAnchor>
    <xdr:from>
      <xdr:col>3</xdr:col>
      <xdr:colOff>0</xdr:colOff>
      <xdr:row>6</xdr:row>
      <xdr:rowOff>114300</xdr:rowOff>
    </xdr:from>
    <xdr:to>
      <xdr:col>8</xdr:col>
      <xdr:colOff>276225</xdr:colOff>
      <xdr:row>11</xdr:row>
      <xdr:rowOff>47625</xdr:rowOff>
    </xdr:to>
    <xdr:sp macro="[0]!EntradaEstoque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F8463444-D2B9-4F81-BEE1-DEE035B86834}"/>
            </a:ext>
            <a:ext uri="{147F2762-F138-4A5C-976F-8EAC2B608ADB}">
              <a16:predDERef xmlns:a16="http://schemas.microsoft.com/office/drawing/2014/main" pred="{5310C48E-0803-79CA-1BC6-87A37FD1F65C}"/>
            </a:ext>
          </a:extLst>
        </xdr:cNvPr>
        <xdr:cNvSpPr/>
      </xdr:nvSpPr>
      <xdr:spPr>
        <a:xfrm>
          <a:off x="4610100" y="1276350"/>
          <a:ext cx="3324225" cy="933450"/>
        </a:xfrm>
        <a:prstGeom prst="round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5400">
              <a:solidFill>
                <a:schemeClr val="lt1"/>
              </a:solidFill>
              <a:latin typeface="+mn-lt"/>
              <a:ea typeface="+mn-lt"/>
              <a:cs typeface="+mn-lt"/>
            </a:rPr>
            <a:t>ENTRADA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29F13F-DB44-4C3D-9CF0-28A6F4A4EBB7}" name="Tabela3" displayName="Tabela3" ref="A4:C30" totalsRowShown="0" headerRowBorderDxfId="11" tableBorderDxfId="12" totalsRowBorderDxfId="10">
  <autoFilter ref="A4:C30" xr:uid="{4929F13F-DB44-4C3D-9CF0-28A6F4A4EBB7}"/>
  <tableColumns count="3">
    <tableColumn id="1" xr3:uid="{5B9403D5-7EB0-449A-96F3-C619C838A604}" name="ITENS" dataDxfId="9"/>
    <tableColumn id="2" xr3:uid="{B338C029-E721-4E29-A774-2A0602994F08}" name="QNTD" dataDxfId="8"/>
    <tableColumn id="3" xr3:uid="{E0B69391-1675-4C9C-A0CC-36912D8DFDF7}" name="Situação" dataDxfId="7">
      <calculatedColumnFormula>IF(Planilha2!B8 &lt; 3, "Comprar Mais", "Estavel")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338A34-FA39-4102-A508-73EE3C2B72CD}" name="Tabela1" displayName="Tabela1" ref="A4:C51" totalsRowShown="0" headerRowDxfId="5" dataDxfId="4" tableBorderDxfId="3">
  <autoFilter ref="A4:C51" xr:uid="{25338A34-FA39-4102-A508-73EE3C2B72CD}"/>
  <tableColumns count="3">
    <tableColumn id="1" xr3:uid="{CAD66256-C90C-4754-B7D1-4C3D708FEED8}" name="Itens" dataDxfId="2"/>
    <tableColumn id="2" xr3:uid="{1DB109C5-17FF-4956-83E6-55690A10FB6F}" name="Qntd" dataDxfId="1"/>
    <tableColumn id="3" xr3:uid="{8835A254-FD77-4549-8814-25B7343295DE}" name="Situaçã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ercadolivre.com.br/luz-led-rgb-fotografica-portatil-recarregavel-2700k-a-6500k/up/MLBU3909864498?matt_tool=18956390&amp;utm_source=google_shopping&amp;utm_medium=organic&amp;pdp_filters=item_id%3AMLB6625539450&amp;from=gshop" TargetMode="External"/><Relationship Id="rId18" Type="http://schemas.openxmlformats.org/officeDocument/2006/relationships/hyperlink" Target="https://www.philco.com.br/micro-retifica-philco-prt180-127-v-051101026/p?utm_source=chatgpt.com" TargetMode="External"/><Relationship Id="rId26" Type="http://schemas.openxmlformats.org/officeDocument/2006/relationships/hyperlink" Target="https://www.amazon.com.br/Jumper-Macho-arduino-raspberry-protoboard/dp/B0CDJ97HB2?source=ps-sl-shoppingads-lpcontext&amp;ref_=fplfs&amp;psc=1&amp;smid=AUNDXKVQGF4FJ" TargetMode="External"/><Relationship Id="rId3" Type="http://schemas.openxmlformats.org/officeDocument/2006/relationships/hyperlink" Target="https://shopee.com.br/McNum-Roda-Omnidirecional-Roda-Universal-Rolo-Rhino-C4D-3Dmax-Liquidificador-Modelo-i.1917270444.56366291891" TargetMode="External"/><Relationship Id="rId21" Type="http://schemas.openxmlformats.org/officeDocument/2006/relationships/hyperlink" Target="https://www.mercadolivre.com.br/estacao-de-solda-com-ar-quente-antiestatica-2-em-1-8586d-pro/up/MLBU4970474149?pdp_filters=item_id:MLB5149523239" TargetMode="External"/><Relationship Id="rId34" Type="http://schemas.openxmlformats.org/officeDocument/2006/relationships/hyperlink" Target="https://produto.mercadolivre.com.br/MLB-3702001364-fita-hellerman-enforca-gato-36x300mm-pacote-100-unidades-_JM" TargetMode="External"/><Relationship Id="rId7" Type="http://schemas.openxmlformats.org/officeDocument/2006/relationships/hyperlink" Target="https://www.amazon.com.br/Solda-Cobix-Tubinho-1-0mm-Gramas/dp/B08SBLC11P?source=ps-sl-shoppingads-lpcontext&amp;ref_=fplfs&amp;psc=1&amp;smid=A1MB7VATN5NKOU" TargetMode="External"/><Relationship Id="rId12" Type="http://schemas.openxmlformats.org/officeDocument/2006/relationships/hyperlink" Target="https://www.amazon.com.br/Acr%C3%ADlico-Transparente-Di%C3%A2metro-Unidades-Passador/dp/B0GRBPKQW7?source=ps-sl-shoppingads-lpcontext&amp;ref_=fplfs&amp;smid=A2QOBTQYPSI44F&amp;th=1" TargetMode="External"/><Relationship Id="rId17" Type="http://schemas.openxmlformats.org/officeDocument/2006/relationships/hyperlink" Target="https://www.mercadolivre.com.br/philco-prt180-120-mini-retifica-acessorios-com-eixo-flexivel-frequencia-50-potencia-180-w/p/MLB29696917?utm_source=chatgpt.com" TargetMode="External"/><Relationship Id="rId25" Type="http://schemas.openxmlformats.org/officeDocument/2006/relationships/hyperlink" Target="https://www.mercadolivre.com.br/kit-40-cabos-jumper-macho-x-macho-20cm-254mm-para-protoboard-eletronica-alfanit-eletronica/p/MLB79041778" TargetMode="External"/><Relationship Id="rId33" Type="http://schemas.openxmlformats.org/officeDocument/2006/relationships/hyperlink" Target="https://www.amazon.com.br/Fesjoy-Conjuntos-Anal%C3%B3gico-Engrenagens-Pl%C3%A1stico/dp/B0H44SXFKW" TargetMode="External"/><Relationship Id="rId2" Type="http://schemas.openxmlformats.org/officeDocument/2006/relationships/hyperlink" Target="https://www.mercadolivre.com.br/kit-4-rodas-mecanum-omnidirecional-4-motores-6v-arduino/p/MLB58204994" TargetMode="External"/><Relationship Id="rId16" Type="http://schemas.openxmlformats.org/officeDocument/2006/relationships/hyperlink" Target="https://shopee.com.br/Micro-Retifica-Philco-PRT180-120-Acess%C3%B3rios-Eixo-Flex%C3%ADvel-110V-i.1617519379.23494688169?utm_source=chatgpt.com" TargetMode="External"/><Relationship Id="rId20" Type="http://schemas.openxmlformats.org/officeDocument/2006/relationships/hyperlink" Target="https://shopee.com.br/Esta%C3%A7%C3%A3o-De-Solda-Retrabalho-2-Em-1-Ar-Quente-Ferro-Yaxun-881d-110v-i.495662581.58216391803?extraParams=%7B%22display_model_id%22%3A149556380203%2C%22model_selection_logic%22%3A3%7D" TargetMode="External"/><Relationship Id="rId29" Type="http://schemas.openxmlformats.org/officeDocument/2006/relationships/hyperlink" Target="https://www.eletrogate.com/modulo-wifi-esp32-devkitc-s1" TargetMode="External"/><Relationship Id="rId1" Type="http://schemas.openxmlformats.org/officeDocument/2006/relationships/hyperlink" Target="https://www.mercadolivre.com.br/kit-com-8-bateria-sanyo-com-terminal-ur18650-37v-2600mah/up/MLBU3525332171?matt_tool=18956390&amp;utm_source=google_shopping&amp;utm_medium=organic&amp;pdp_filters=item_id%3AMLB4282770805&amp;from=gshop" TargetMode="External"/><Relationship Id="rId6" Type="http://schemas.openxmlformats.org/officeDocument/2006/relationships/hyperlink" Target="https://www.mercadolivre.com.br/solda-estanho-40x60-08mm-10g/up/MLBU5157115501" TargetMode="External"/><Relationship Id="rId11" Type="http://schemas.openxmlformats.org/officeDocument/2006/relationships/hyperlink" Target="https://shopee.com.br/product/394627540/52406306037?gads_t_sig=gqRjZGVrxHCFomtpsTE0MjUxOnRzc19zZGtfa2V5omt20QACpGFsZ2_SAAAAZKNkZWvAomN0xEAAAAAMCDZ1QISG3Y9eQ8yPVgAOiad7g2PqyaqkWO_9nGG8rv2GeSvTKVy0YH9Uq_tAMSkaB8ROm0FmD1_y4Fc6qmNpcGhlcnRleHTEcgAAAAzkQF4HRZVrwMvEQU3hQg2QgjWRsMncf1z-0UeMAm2L9c5HdGwLxvQSJRKLQPBipFDcxx77cvmd80o47MSnAH8C_cvkTihf9WSfVrQWmiee5OboDITKr3giETVZ7ttyQ1c-9-uLMoiF8ayGyTtYAg" TargetMode="External"/><Relationship Id="rId24" Type="http://schemas.openxmlformats.org/officeDocument/2006/relationships/hyperlink" Target="https://shopee.com.br/Mini-Tripe-De-Mesa-P-Camera-E-Celular-360%C2%B0-23-28cm-i.386180217.4584621232?utm_source=chatgpt.com" TargetMode="External"/><Relationship Id="rId32" Type="http://schemas.openxmlformats.org/officeDocument/2006/relationships/hyperlink" Target="https://shopee.com.br/product/393645533/19799194442?gads_t_sig=gqRjZGVrxHCFomtpsTE0MjUxOnRzc19zZGtfa2V5omt20QACpGFsZ2_SAAAAZKNkZWvAomN0xEAAAAAMCDZ1QISG3Y9eQ8yPVgAOiad7g2PqyaqkWO_9nGG8rv2GeSvTKVy0YH9Uq_tAMSkaB8ROm0FmD1_y4Fc6qmNpcGhlcnRleHTEcgAAAAznq8HcV-DhC2SX6cyr5at3EPvd7EUoUnQEWNUaVlanY9o0AbbYweHS0a-5by04P9r9YQ5eevrdTl1Q52aKWEwPZx5eG_Fs0RmgYeVd7f7kpD7NIsT7GhYvsT5uqFNXjANgygQwjtN3701S2v-fMg" TargetMode="External"/><Relationship Id="rId5" Type="http://schemas.openxmlformats.org/officeDocument/2006/relationships/hyperlink" Target="https://shopee.com.br/product/283930984/21698000280?gads_t_sig=gqRjZGVrxHCFomtpsTE0MjUxOnRzc19zZGtfa2V5omt20QACpGFsZ2_SAAAAZKNkZWvAomN0xEAAAAAM8_Dvg91umMqxohSiPhT60aihHef5i_gVVw2UhNIhMGctptvtiQ-FLEUeOmGDuao_Fwojp-wpr8LUkHbpqmNpcGhlcnRleHTEcgAAAAwjAWlL7BCqDRaFibygW7PbKDtVm61GVkIJbanCwUP2YSiILQqMwjc1V-8Ya5NAQ1HwYQindFw6OTBZ4ofIJSrbjhL61rZj6wQUaKHCqPbfXR6vrUVTy1XK2uOe2Wf_phpEXApFicv-H2Pe2ISu4Q" TargetMode="External"/><Relationship Id="rId15" Type="http://schemas.openxmlformats.org/officeDocument/2006/relationships/hyperlink" Target="https://www.amazon.com.br/M160-RGB-Light-Profissional-Recarreg%C3%A1vel/dp/B0H27HGX8V?source=ps-sl-shoppingads-lpcontext&amp;ref_=fplfs&amp;psc=1&amp;smid=AZW1PHSMJVXHX" TargetMode="External"/><Relationship Id="rId23" Type="http://schemas.openxmlformats.org/officeDocument/2006/relationships/hyperlink" Target="https://shopee.com.br/Mini-Tripe-De-Mesa-P-Camera-E-Celular-360%C2%B0-23-28cm-i.386180217.4584621232?utm_source=chatgpt.com" TargetMode="External"/><Relationship Id="rId28" Type="http://schemas.openxmlformats.org/officeDocument/2006/relationships/hyperlink" Target="https://www.mercadolivre.com.br/esp32-wifi-bluetooth--doit-devkit-com-esp32wroom32/up/MLBU2867882022?matt_tool=18956390&amp;utm_source=google_shopping&amp;utm_medium=organic&amp;pdp_filters=item_id%3AMLB5197648024&amp;from=gshop" TargetMode="External"/><Relationship Id="rId36" Type="http://schemas.openxmlformats.org/officeDocument/2006/relationships/hyperlink" Target="https://shopee.com.br/product/345645435/23493697948?gads_t_sig=gqRjZGVrxHCFomtpsTE0MjUxOnRzc19zZGtfa2V5omt20QACpGFsZ2_SAAAAZKNkZWvAomN0xEAAAAAMCDZ1QISG3Y9eQ8yPVgAOiad7g2PqyaqkWO_9nGG8rv2GeSvTKVy0YH9Uq_tAMSkaB8ROm0FmD1_y4Fc6qmNpcGhlcnRleHTEcgAAAAyFWq0mEKtiI1C9ru7934frWgebUHhv_IbfUdFBxyMRIWQX7vKf_eXBbrOZqx4bVsSyKwNJT--MO5_jPqdEQGF_nikCfJ4aytu_BOrB-aQzh6RoxCNMZJMGuOfPqU-jnRuZ2z6H3oXAslaIYSSxZg" TargetMode="External"/><Relationship Id="rId10" Type="http://schemas.openxmlformats.org/officeDocument/2006/relationships/hyperlink" Target="https://www.mercadolivre.com.br/kit-50-medalhas-tipo-acrilico-7cm-redonda-com-fita-amarela/up/MLBU3884511216?matt_tool=18956390&amp;utm_source=google_shopping&amp;utm_medium=organic&amp;pdp_filters=item_id%3AMLB4579854315&amp;from=gshop" TargetMode="External"/><Relationship Id="rId19" Type="http://schemas.openxmlformats.org/officeDocument/2006/relationships/hyperlink" Target="https://www.mercadolivre.com.br/estacao-de-solda-e-retrabalho-ar-quente-e-ferro-760w-110v/up/MLBU4588061969" TargetMode="External"/><Relationship Id="rId31" Type="http://schemas.openxmlformats.org/officeDocument/2006/relationships/hyperlink" Target="https://www.mercadolivre.com.br/kit-5-micro-servo-motores-rb-sg90-9g-nylon-30v-72v-automacao-robotica/p/MLB27395204?matt_tool=18956390&amp;utm_source=google_shopping&amp;utm_medium=organic&amp;pdp_filters=item_id%3AMLB7303551222&amp;from=gshop" TargetMode="External"/><Relationship Id="rId4" Type="http://schemas.openxmlformats.org/officeDocument/2006/relationships/hyperlink" Target="https://www.makerhero.com/produto/kit-4-rodas-omnidirecionais-mecanum-80mm/?srsltid=AU7gw4WhvB3ehC5PeqRswj_vkhHjv1dc_3SmwyfXFaQUFwql31jT8ZWH0q8" TargetMode="External"/><Relationship Id="rId9" Type="http://schemas.openxmlformats.org/officeDocument/2006/relationships/hyperlink" Target="https://www.mercadolivre.com.br/kit-5-trofeu-ps-cristal-2mm-15cm-trapezio-c-base-preta/p/MLB58698412?matt_tool=18956390&amp;utm_source=google_shopping&amp;utm_medium=organic&amp;pdp_filters=item_id%3AMLB4233840481&amp;from=gshop" TargetMode="External"/><Relationship Id="rId14" Type="http://schemas.openxmlformats.org/officeDocument/2006/relationships/hyperlink" Target="https://shopee.com.br/product/717127904/58256819971?gads_t_sig=gqRjZGVrxHCFomtpsTE0MjUxOnRzc19zZGtfa2V5omt20QACpGFsZ2_SAAAAZKNkZWvAomN0xEAAAAAMCDZ1QISG3Y9eQ8yPVgAOiad7g2PqyaqkWO_9nGG8rv2GeSvTKVy0YH9Uq_tAMSkaB8ROm0FmD1_y4Fc6qmNpcGhlcnRleHTEcgAAAAyBVwmWMJZDV91SCbkDVr3WJRvjHSxp3ApicKqE6pIXo6JegDVKpST9ApTKt0t0I77bMPNHczPCZE_C8TIfsk9tv3uLTPhkZGALB0PPSMTG29woZ01RaQ8dIhQF6JqFBXSOHIH_FmvtC9vZYoNZvQ" TargetMode="External"/><Relationship Id="rId22" Type="http://schemas.openxmlformats.org/officeDocument/2006/relationships/hyperlink" Target="https://www.mercadolivre.com.br/mini-tripe-flexivel-suporte-celular-universal-articulado/up/MLBU3374925283?utm_source=chatgpt.com" TargetMode="External"/><Relationship Id="rId27" Type="http://schemas.openxmlformats.org/officeDocument/2006/relationships/hyperlink" Target="https://www.magazineluiza.com.br/cabo-jumper-20cm-macho-x-macho-40-unidades-p-protoboard-bbacomercio/p/ed1150ah5k/in/rbtc/?seller_id=bbacomercio94&amp;srsltid=AU7gw4U9FRZ9h-nPs35qCi0KZLszWM_W2lMGVVFoFU8mRxduqQpXiMFa1ig&#174;ion_id=123466" TargetMode="External"/><Relationship Id="rId30" Type="http://schemas.openxmlformats.org/officeDocument/2006/relationships/hyperlink" Target="https://www.amazon.com.br/desenvolvimento-ESP-WROOM-32-processador-microcontrolador-Bluetooth/dp/B09491Q4F6?source=ps-sl-shoppingads-lpcontext&amp;ref_=fplfs&amp;psc=1&amp;smid=A2VY7CMJW4U79V" TargetMode="External"/><Relationship Id="rId35" Type="http://schemas.openxmlformats.org/officeDocument/2006/relationships/hyperlink" Target="https://www.amazon.com.br/Hellerman-Enforca-Abra%C3%A7adeira-Nylon-Pe%C3%A7as/dp/B0CJG16LJK?source=ps-sl-shoppingads-lpcontext&amp;ref_=fplfs&amp;psc=1&amp;smid=A2D3LRVBALE6LO" TargetMode="External"/><Relationship Id="rId8" Type="http://schemas.openxmlformats.org/officeDocument/2006/relationships/hyperlink" Target="https://shopee.com.br/product/428118081/23694849695?gads_t_sig=gqRjZGVrxHCFomtpsTE0MjUxOnRzc19zZGtfa2V5omt20QACpGFsZ2_SAAAAZKNkZWvAomN0xEAAAAAM8_Dvg91umMqxohSiPhT60aihHef5i_gVVw2UhNIhMGctptvtiQ-FLEUeOmGDuao_Fwojp-wpr8LUkHbpqmNpcGhlcnRleHTEcgAAAAywHWOLZ0z1e_4fkHb7q-kk0N8Q2pAcl6_ggD7DlS7CPFhczHYPnIHhP6rY-Bzrq_tjGX9BNri3SiNfzUDwD2cce36raG7RBYdDPWmENfMbWd34Pcqi6Nrw9zQBCC0tDtTLu-FEo3tNcw2BgSEn8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N30"/>
  <sheetViews>
    <sheetView topLeftCell="A23" workbookViewId="0">
      <selection activeCell="C29" sqref="C29"/>
    </sheetView>
  </sheetViews>
  <sheetFormatPr defaultRowHeight="15"/>
  <cols>
    <col min="1" max="1" width="23.42578125" customWidth="1"/>
    <col min="2" max="2" width="23.7109375" customWidth="1"/>
    <col min="3" max="3" width="26.5703125" customWidth="1"/>
  </cols>
  <sheetData>
    <row r="1" spans="1:14" ht="11.25" customHeight="1">
      <c r="A1" s="31" t="s">
        <v>0</v>
      </c>
      <c r="B1" s="31"/>
      <c r="C1" s="3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" customHeight="1">
      <c r="A2" s="31"/>
      <c r="B2" s="31"/>
      <c r="C2" s="3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4" ht="15" customHeight="1">
      <c r="A3" s="31"/>
      <c r="B3" s="31"/>
      <c r="C3" s="3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4" ht="15" customHeight="1">
      <c r="A4" s="3" t="s">
        <v>1</v>
      </c>
      <c r="B4" s="4" t="s">
        <v>2</v>
      </c>
      <c r="C4" s="5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</row>
    <row r="5" spans="1:14" ht="15" customHeight="1">
      <c r="A5" s="10"/>
      <c r="B5" s="11"/>
      <c r="C5" s="9" t="str">
        <f>IF(Planilha2!B8 &lt; 3, "Comprar Mais", "Estavel")</f>
        <v>Estavel</v>
      </c>
      <c r="F5" s="1"/>
      <c r="G5" s="1"/>
      <c r="H5" s="1"/>
      <c r="I5" s="1"/>
      <c r="J5" s="1"/>
      <c r="K5" s="1"/>
      <c r="L5" s="1"/>
      <c r="M5" s="1"/>
    </row>
    <row r="6" spans="1:14">
      <c r="A6" s="6"/>
      <c r="B6" s="2"/>
      <c r="C6" s="9" t="str">
        <f>IF(Planilha2!B9 &lt; 3, "Comprar Mais", "Estavel")</f>
        <v>Estavel</v>
      </c>
    </row>
    <row r="7" spans="1:14">
      <c r="A7" s="6"/>
      <c r="B7" s="2"/>
      <c r="C7" s="9" t="str">
        <f>IF(Planilha2!B10 &lt; 3, "Comprar Mais", "Estavel")</f>
        <v>Comprar Mais</v>
      </c>
    </row>
    <row r="8" spans="1:14">
      <c r="A8" s="6"/>
      <c r="B8" s="2"/>
      <c r="C8" s="9" t="str">
        <f>IF(Planilha2!B11 &lt; 3, "Comprar Mais", "Estavel")</f>
        <v>Estavel</v>
      </c>
    </row>
    <row r="9" spans="1:14">
      <c r="A9" s="6"/>
      <c r="B9" s="2"/>
      <c r="C9" s="9" t="str">
        <f>IF(Planilha2!B12 &lt; 3, "Comprar Mais", "Estavel")</f>
        <v>Estavel</v>
      </c>
    </row>
    <row r="10" spans="1:14">
      <c r="A10" s="6"/>
      <c r="B10" s="2"/>
      <c r="C10" s="9" t="str">
        <f>IF(Planilha2!B13 &lt; 3, "Comprar Mais", "Estavel")</f>
        <v>Comprar Mais</v>
      </c>
    </row>
    <row r="11" spans="1:14">
      <c r="A11" s="6"/>
      <c r="B11" s="2"/>
      <c r="C11" s="9" t="str">
        <f>IF(Planilha2!B14 &lt; 3, "Comprar Mais", "Estavel")</f>
        <v>Comprar Mais</v>
      </c>
    </row>
    <row r="12" spans="1:14">
      <c r="A12" s="6"/>
      <c r="B12" s="2"/>
      <c r="C12" s="9" t="str">
        <f>IF(Planilha2!B15 &lt; 3, "Comprar Mais", "Estavel")</f>
        <v>Comprar Mais</v>
      </c>
    </row>
    <row r="13" spans="1:14">
      <c r="A13" s="6"/>
      <c r="B13" s="2"/>
      <c r="C13" s="9" t="str">
        <f>IF(Planilha2!B16 &lt; 3, "Comprar Mais", "Estavel")</f>
        <v>Comprar Mais</v>
      </c>
    </row>
    <row r="14" spans="1:14">
      <c r="A14" s="6"/>
      <c r="B14" s="2"/>
      <c r="C14" s="9" t="str">
        <f>IF(Planilha2!B17 &lt; 3, "Comprar Mais", "Estavel")</f>
        <v>Estavel</v>
      </c>
    </row>
    <row r="15" spans="1:14">
      <c r="A15" s="6"/>
      <c r="B15" s="2"/>
      <c r="C15" s="9" t="str">
        <f>IF(Planilha2!B18 &lt; 3, "Comprar Mais", "Estavel")</f>
        <v>Estavel</v>
      </c>
    </row>
    <row r="16" spans="1:14">
      <c r="A16" s="6"/>
      <c r="B16" s="2"/>
      <c r="C16" s="9" t="str">
        <f>IF(Planilha2!B19 &lt; 3, "Comprar Mais", "Estavel")</f>
        <v>Comprar Mais</v>
      </c>
    </row>
    <row r="17" spans="1:3">
      <c r="A17" s="6"/>
      <c r="B17" s="2"/>
      <c r="C17" s="9" t="str">
        <f>IF(Planilha2!B20 &lt; 3, "Comprar Mais", "Estavel")</f>
        <v>Comprar Mais</v>
      </c>
    </row>
    <row r="18" spans="1:3">
      <c r="A18" s="6"/>
      <c r="B18" s="2"/>
      <c r="C18" s="9" t="str">
        <f>IF(Planilha2!B21 &lt; 3, "Comprar Mais", "Estavel")</f>
        <v>Comprar Mais</v>
      </c>
    </row>
    <row r="19" spans="1:3">
      <c r="A19" s="6"/>
      <c r="B19" s="2"/>
      <c r="C19" s="9" t="str">
        <f>IF(Planilha2!B22 &lt; 3, "Comprar Mais", "Estavel")</f>
        <v>Comprar Mais</v>
      </c>
    </row>
    <row r="20" spans="1:3">
      <c r="A20" s="6"/>
      <c r="B20" s="2"/>
      <c r="C20" s="9" t="str">
        <f>IF(Planilha2!B23 &lt; 3, "Comprar Mais", "Estavel")</f>
        <v>Comprar Mais</v>
      </c>
    </row>
    <row r="21" spans="1:3">
      <c r="A21" s="6"/>
      <c r="B21" s="2"/>
      <c r="C21" s="9" t="str">
        <f>IF(Planilha2!B24 &lt; 3, "Comprar Mais", "Estavel")</f>
        <v>Comprar Mais</v>
      </c>
    </row>
    <row r="22" spans="1:3">
      <c r="A22" s="6"/>
      <c r="B22" s="2"/>
      <c r="C22" s="9" t="str">
        <f>IF(Planilha2!B25 &lt; 3, "Comprar Mais", "Estavel")</f>
        <v>Comprar Mais</v>
      </c>
    </row>
    <row r="23" spans="1:3">
      <c r="A23" s="6"/>
      <c r="B23" s="2"/>
      <c r="C23" s="9" t="str">
        <f>IF(Planilha2!B26 &lt; 3, "Comprar Mais", "Estavel")</f>
        <v>Comprar Mais</v>
      </c>
    </row>
    <row r="24" spans="1:3">
      <c r="A24" s="6"/>
      <c r="B24" s="2"/>
      <c r="C24" s="9" t="str">
        <f>IF(Planilha2!B27 &lt; 3, "Comprar Mais", "Estavel")</f>
        <v>Comprar Mais</v>
      </c>
    </row>
    <row r="25" spans="1:3">
      <c r="A25" s="6"/>
      <c r="B25" s="2"/>
      <c r="C25" s="9" t="str">
        <f>IF(Planilha2!B28 &lt; 3, "Comprar Mais", "Estavel")</f>
        <v>Estavel</v>
      </c>
    </row>
    <row r="26" spans="1:3">
      <c r="A26" s="6"/>
      <c r="B26" s="2"/>
      <c r="C26" s="9" t="str">
        <f>IF(Planilha2!B29 &lt; 3, "Comprar Mais", "Estavel")</f>
        <v>Estavel</v>
      </c>
    </row>
    <row r="27" spans="1:3">
      <c r="A27" s="6"/>
      <c r="B27" s="2"/>
      <c r="C27" s="9" t="str">
        <f>IF(Planilha2!B30 &lt; 3, "Comprar Mais", "Estavel")</f>
        <v>Comprar Mais</v>
      </c>
    </row>
    <row r="28" spans="1:3">
      <c r="A28" s="6"/>
      <c r="B28" s="2"/>
      <c r="C28" s="9" t="str">
        <f>IF(B31 &lt; 3, "Comprar Mais", "Estavel")</f>
        <v>Comprar Mais</v>
      </c>
    </row>
    <row r="29" spans="1:3">
      <c r="A29" s="6"/>
      <c r="B29" s="2"/>
      <c r="C29" s="9" t="str">
        <f>IF(B32 &lt; 3, "Comprar Mais", "Estavel")</f>
        <v>Comprar Mais</v>
      </c>
    </row>
    <row r="30" spans="1:3">
      <c r="A30" s="7"/>
      <c r="B30" s="8"/>
      <c r="C30" s="9" t="str">
        <f>IF(B33 &lt; 3, "Comprar Mais", "Estavel")</f>
        <v>Comprar Mais</v>
      </c>
    </row>
  </sheetData>
  <mergeCells count="1">
    <mergeCell ref="A1:C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78A18-CA0E-49F6-B57A-960283D0069C}">
  <sheetPr codeName="Planilha2"/>
  <dimension ref="A1:C51"/>
  <sheetViews>
    <sheetView workbookViewId="0">
      <pane ySplit="4" topLeftCell="A5" activePane="bottomLeft" state="frozen"/>
      <selection pane="bottomLeft" activeCell="B7" sqref="B7"/>
    </sheetView>
  </sheetViews>
  <sheetFormatPr defaultRowHeight="15"/>
  <cols>
    <col min="1" max="1" width="22.42578125" customWidth="1"/>
    <col min="2" max="2" width="23.42578125" customWidth="1"/>
    <col min="3" max="3" width="23.28515625" customWidth="1"/>
  </cols>
  <sheetData>
    <row r="1" spans="1:3">
      <c r="A1" s="32" t="s">
        <v>4</v>
      </c>
      <c r="B1" s="33"/>
      <c r="C1" s="34"/>
    </row>
    <row r="2" spans="1:3">
      <c r="A2" s="35"/>
      <c r="B2" s="36"/>
      <c r="C2" s="37"/>
    </row>
    <row r="3" spans="1:3">
      <c r="A3" s="38"/>
      <c r="B3" s="39"/>
      <c r="C3" s="37"/>
    </row>
    <row r="4" spans="1:3">
      <c r="A4" s="16" t="s">
        <v>5</v>
      </c>
      <c r="B4" s="17" t="s">
        <v>6</v>
      </c>
      <c r="C4" s="12" t="s">
        <v>3</v>
      </c>
    </row>
    <row r="5" spans="1:3" ht="15.75">
      <c r="A5" s="13" t="s">
        <v>7</v>
      </c>
      <c r="B5" s="13">
        <v>5</v>
      </c>
      <c r="C5" s="14" t="str">
        <f>IF(B5 &lt; 3, "Comprar Mais", "Estavel")</f>
        <v>Estavel</v>
      </c>
    </row>
    <row r="6" spans="1:3" ht="15.75">
      <c r="A6" s="15" t="s">
        <v>8</v>
      </c>
      <c r="B6" s="15">
        <v>11</v>
      </c>
      <c r="C6" s="15" t="str">
        <f>IF(B6 &lt; 3, "Comprar Mais", "Estavel")</f>
        <v>Estavel</v>
      </c>
    </row>
    <row r="7" spans="1:3" ht="15.75">
      <c r="A7" s="13" t="s">
        <v>9</v>
      </c>
      <c r="B7" s="13">
        <v>8</v>
      </c>
      <c r="C7" s="15" t="str">
        <f t="shared" ref="C6:C29" si="0">IF(B7 &lt; 3, "Comprar Mais", "Estavel")</f>
        <v>Estavel</v>
      </c>
    </row>
    <row r="8" spans="1:3" ht="15.75">
      <c r="A8" s="15" t="s">
        <v>10</v>
      </c>
      <c r="B8" s="15">
        <v>5</v>
      </c>
      <c r="C8" s="15" t="str">
        <f>IF(B8 &lt; 3, "Comprar Mais", "Estavel")</f>
        <v>Estavel</v>
      </c>
    </row>
    <row r="9" spans="1:3" ht="15.75">
      <c r="A9" s="13" t="s">
        <v>11</v>
      </c>
      <c r="B9" s="13">
        <v>3</v>
      </c>
      <c r="C9" s="15" t="s">
        <v>12</v>
      </c>
    </row>
    <row r="10" spans="1:3" ht="15.75">
      <c r="A10" s="15" t="s">
        <v>13</v>
      </c>
      <c r="B10" s="15">
        <v>2</v>
      </c>
      <c r="C10" s="15" t="str">
        <f>IF(B10 &lt; 2, "Comprar Mais", "Estavel")</f>
        <v>Estavel</v>
      </c>
    </row>
    <row r="11" spans="1:3" ht="15.75">
      <c r="A11" s="13" t="s">
        <v>14</v>
      </c>
      <c r="B11" s="13">
        <v>3</v>
      </c>
      <c r="C11" s="15" t="str">
        <f t="shared" si="0"/>
        <v>Estavel</v>
      </c>
    </row>
    <row r="12" spans="1:3" ht="15.75">
      <c r="A12" s="15" t="s">
        <v>15</v>
      </c>
      <c r="B12" s="15">
        <v>5</v>
      </c>
      <c r="C12" s="15" t="str">
        <f t="shared" si="0"/>
        <v>Estavel</v>
      </c>
    </row>
    <row r="13" spans="1:3" ht="15.75">
      <c r="A13" s="13" t="s">
        <v>16</v>
      </c>
      <c r="B13" s="13">
        <v>1</v>
      </c>
      <c r="C13" s="15" t="str">
        <f>IF(B13 &lt; 1, "Comprar Mais", "Estavel")</f>
        <v>Estavel</v>
      </c>
    </row>
    <row r="14" spans="1:3" ht="15.75">
      <c r="A14" s="15" t="s">
        <v>17</v>
      </c>
      <c r="B14" s="15">
        <v>1</v>
      </c>
      <c r="C14" s="15" t="str">
        <f t="shared" ref="C14:C17" si="1">IF(B14 &lt; 1, "Comprar Mais", "Estavel")</f>
        <v>Estavel</v>
      </c>
    </row>
    <row r="15" spans="1:3" ht="15.75">
      <c r="A15" s="13" t="s">
        <v>18</v>
      </c>
      <c r="B15" s="13">
        <v>1</v>
      </c>
      <c r="C15" s="15" t="str">
        <f t="shared" si="1"/>
        <v>Estavel</v>
      </c>
    </row>
    <row r="16" spans="1:3" ht="15.75">
      <c r="A16" s="15" t="s">
        <v>19</v>
      </c>
      <c r="B16" s="15">
        <v>1</v>
      </c>
      <c r="C16" s="15" t="str">
        <f t="shared" si="1"/>
        <v>Estavel</v>
      </c>
    </row>
    <row r="17" spans="1:3" ht="15.75">
      <c r="A17" s="13" t="s">
        <v>20</v>
      </c>
      <c r="B17" s="13">
        <v>5</v>
      </c>
      <c r="C17" s="15" t="str">
        <f t="shared" si="1"/>
        <v>Estavel</v>
      </c>
    </row>
    <row r="18" spans="1:3" ht="15.75">
      <c r="A18" s="15" t="s">
        <v>21</v>
      </c>
      <c r="B18" s="15">
        <v>8</v>
      </c>
      <c r="C18" s="15" t="str">
        <f t="shared" si="0"/>
        <v>Estavel</v>
      </c>
    </row>
    <row r="19" spans="1:3" ht="15.75">
      <c r="A19" s="13" t="s">
        <v>22</v>
      </c>
      <c r="B19" s="13">
        <v>2</v>
      </c>
      <c r="C19" s="15" t="s">
        <v>12</v>
      </c>
    </row>
    <row r="20" spans="1:3" ht="15.75">
      <c r="A20" s="15" t="s">
        <v>23</v>
      </c>
      <c r="B20" s="15">
        <v>2</v>
      </c>
      <c r="C20" s="15" t="str">
        <f>IF(B20 &lt; 1, "Comprar Mais", "Estavel")</f>
        <v>Estavel</v>
      </c>
    </row>
    <row r="21" spans="1:3" ht="15.75">
      <c r="A21" s="13" t="s">
        <v>24</v>
      </c>
      <c r="B21" s="13">
        <v>0</v>
      </c>
      <c r="C21" s="15" t="str">
        <f>IF(B21 &lt; 2, "Comprar Mais", "Estavel")</f>
        <v>Comprar Mais</v>
      </c>
    </row>
    <row r="22" spans="1:3" ht="15.75">
      <c r="A22" s="15" t="s">
        <v>25</v>
      </c>
      <c r="B22" s="15">
        <v>0</v>
      </c>
      <c r="C22" s="15" t="str">
        <f>IF(B22 &lt; 2, "Comprar Mais", "Estavel")</f>
        <v>Comprar Mais</v>
      </c>
    </row>
    <row r="23" spans="1:3" ht="15.75">
      <c r="A23" s="13" t="s">
        <v>26</v>
      </c>
      <c r="B23" s="13">
        <v>1</v>
      </c>
      <c r="C23" s="15" t="str">
        <f>IF(B23 &lt; 1, "Comprar Mais", "Estavel")</f>
        <v>Estavel</v>
      </c>
    </row>
    <row r="24" spans="1:3" ht="15.75">
      <c r="A24" s="15" t="s">
        <v>27</v>
      </c>
      <c r="B24" s="15">
        <v>1</v>
      </c>
      <c r="C24" s="15" t="str">
        <f>IF(B24 &lt; 1, "Comprar Mais", "Estavel")</f>
        <v>Estavel</v>
      </c>
    </row>
    <row r="25" spans="1:3" ht="15.75">
      <c r="A25" s="13" t="s">
        <v>28</v>
      </c>
      <c r="B25" s="13">
        <v>1</v>
      </c>
      <c r="C25" s="15" t="str">
        <f>IF(B25 &lt; 1, "Comprar Mais", "Estavel")</f>
        <v>Estavel</v>
      </c>
    </row>
    <row r="26" spans="1:3" ht="15.75">
      <c r="A26" s="15" t="s">
        <v>29</v>
      </c>
      <c r="B26" s="15">
        <v>1</v>
      </c>
      <c r="C26" s="15" t="str">
        <f>IF(B26 &lt; 1, "Comprar Mais", "Estavel")</f>
        <v>Estavel</v>
      </c>
    </row>
    <row r="27" spans="1:3" ht="15.75">
      <c r="A27" s="13" t="s">
        <v>30</v>
      </c>
      <c r="B27" s="13">
        <v>1</v>
      </c>
      <c r="C27" s="15" t="str">
        <f t="shared" si="0"/>
        <v>Comprar Mais</v>
      </c>
    </row>
    <row r="28" spans="1:3" ht="15.75">
      <c r="A28" s="15" t="s">
        <v>31</v>
      </c>
      <c r="B28" s="15">
        <v>16</v>
      </c>
      <c r="C28" s="15" t="str">
        <f t="shared" si="0"/>
        <v>Estavel</v>
      </c>
    </row>
    <row r="29" spans="1:3" ht="15.75">
      <c r="A29" s="13" t="s">
        <v>32</v>
      </c>
      <c r="B29" s="13">
        <v>3</v>
      </c>
      <c r="C29" s="15" t="str">
        <f t="shared" si="0"/>
        <v>Estavel</v>
      </c>
    </row>
    <row r="30" spans="1:3" ht="15.75">
      <c r="A30" s="15" t="s">
        <v>33</v>
      </c>
      <c r="B30" s="15">
        <v>1</v>
      </c>
      <c r="C30" s="15" t="str">
        <f>IF(B30 &lt; 1, "Comprar Mais", "Estavel")</f>
        <v>Estavel</v>
      </c>
    </row>
    <row r="31" spans="1:3" ht="15.75">
      <c r="A31" s="19" t="s">
        <v>34</v>
      </c>
      <c r="B31" s="19">
        <v>8</v>
      </c>
      <c r="C31" s="15" t="str">
        <f t="shared" ref="C31:C45" si="2">IF(B31 &lt; 1, "Comprar Mais", "Estavel")</f>
        <v>Estavel</v>
      </c>
    </row>
    <row r="32" spans="1:3" ht="15.75">
      <c r="A32" s="19" t="s">
        <v>35</v>
      </c>
      <c r="B32" s="19">
        <v>35</v>
      </c>
      <c r="C32" s="15" t="str">
        <f t="shared" si="2"/>
        <v>Estavel</v>
      </c>
    </row>
    <row r="33" spans="1:3" ht="15.75">
      <c r="A33" s="19" t="s">
        <v>36</v>
      </c>
      <c r="B33" s="19">
        <v>1</v>
      </c>
      <c r="C33" s="15" t="str">
        <f t="shared" si="2"/>
        <v>Estavel</v>
      </c>
    </row>
    <row r="34" spans="1:3" ht="15.75">
      <c r="A34" s="19" t="s">
        <v>37</v>
      </c>
      <c r="B34" s="19">
        <v>7</v>
      </c>
      <c r="C34" s="15" t="str">
        <f t="shared" si="2"/>
        <v>Estavel</v>
      </c>
    </row>
    <row r="35" spans="1:3" ht="15.75">
      <c r="A35" s="19" t="s">
        <v>38</v>
      </c>
      <c r="B35" s="19">
        <v>7</v>
      </c>
      <c r="C35" s="15" t="str">
        <f t="shared" si="2"/>
        <v>Estavel</v>
      </c>
    </row>
    <row r="36" spans="1:3" ht="15.75">
      <c r="A36" s="19" t="s">
        <v>39</v>
      </c>
      <c r="B36" s="19">
        <v>2</v>
      </c>
      <c r="C36" s="15" t="str">
        <f t="shared" si="2"/>
        <v>Estavel</v>
      </c>
    </row>
    <row r="37" spans="1:3" ht="15.75">
      <c r="A37" s="19" t="s">
        <v>40</v>
      </c>
      <c r="B37" s="19">
        <v>23</v>
      </c>
      <c r="C37" s="15" t="str">
        <f t="shared" si="2"/>
        <v>Estavel</v>
      </c>
    </row>
    <row r="38" spans="1:3" ht="15.75">
      <c r="A38" s="19" t="s">
        <v>41</v>
      </c>
      <c r="B38" s="19">
        <v>1</v>
      </c>
      <c r="C38" s="15" t="str">
        <f t="shared" si="2"/>
        <v>Estavel</v>
      </c>
    </row>
    <row r="39" spans="1:3" ht="15.75">
      <c r="A39" s="19" t="s">
        <v>42</v>
      </c>
      <c r="B39" s="19">
        <v>2</v>
      </c>
      <c r="C39" s="15" t="str">
        <f t="shared" si="2"/>
        <v>Estavel</v>
      </c>
    </row>
    <row r="40" spans="1:3" ht="15.75">
      <c r="A40" s="19" t="s">
        <v>43</v>
      </c>
      <c r="B40" s="19">
        <v>1</v>
      </c>
      <c r="C40" s="15" t="str">
        <f t="shared" si="2"/>
        <v>Estavel</v>
      </c>
    </row>
    <row r="41" spans="1:3" ht="15.75">
      <c r="A41" s="19" t="s">
        <v>44</v>
      </c>
      <c r="B41" s="19">
        <v>3</v>
      </c>
      <c r="C41" s="15" t="str">
        <f t="shared" si="2"/>
        <v>Estavel</v>
      </c>
    </row>
    <row r="42" spans="1:3" ht="15.75">
      <c r="A42" s="19" t="s">
        <v>45</v>
      </c>
      <c r="B42" s="19">
        <v>2</v>
      </c>
      <c r="C42" s="15" t="str">
        <f t="shared" si="2"/>
        <v>Estavel</v>
      </c>
    </row>
    <row r="43" spans="1:3" ht="15.75">
      <c r="A43" s="19" t="s">
        <v>22</v>
      </c>
      <c r="B43" s="19">
        <v>3</v>
      </c>
      <c r="C43" s="15" t="str">
        <f t="shared" si="2"/>
        <v>Estavel</v>
      </c>
    </row>
    <row r="44" spans="1:3" ht="15.75">
      <c r="A44" s="19" t="s">
        <v>46</v>
      </c>
      <c r="B44" s="19">
        <v>8</v>
      </c>
      <c r="C44" s="15" t="str">
        <f t="shared" si="2"/>
        <v>Estavel</v>
      </c>
    </row>
    <row r="45" spans="1:3" ht="15.75">
      <c r="A45" s="19" t="s">
        <v>47</v>
      </c>
      <c r="B45" s="19">
        <v>3</v>
      </c>
      <c r="C45" s="15" t="str">
        <f t="shared" si="2"/>
        <v>Estavel</v>
      </c>
    </row>
    <row r="46" spans="1:3" ht="15.75">
      <c r="A46" s="19" t="s">
        <v>48</v>
      </c>
      <c r="B46" s="19"/>
      <c r="C46" s="19"/>
    </row>
    <row r="47" spans="1:3" ht="15.75">
      <c r="A47" s="19" t="s">
        <v>49</v>
      </c>
      <c r="B47" s="19">
        <v>20</v>
      </c>
      <c r="C47" s="19"/>
    </row>
    <row r="48" spans="1:3" ht="15.75">
      <c r="A48" s="19" t="s">
        <v>50</v>
      </c>
      <c r="B48" s="19">
        <v>80</v>
      </c>
      <c r="C48" s="19"/>
    </row>
    <row r="49" spans="1:3" ht="15.75">
      <c r="A49" s="19" t="s">
        <v>51</v>
      </c>
      <c r="B49" s="19">
        <v>6</v>
      </c>
      <c r="C49" s="19"/>
    </row>
    <row r="50" spans="1:3" ht="15.75">
      <c r="A50" s="19" t="s">
        <v>52</v>
      </c>
      <c r="B50" s="19">
        <v>8</v>
      </c>
      <c r="C50" s="19"/>
    </row>
    <row r="51" spans="1:3" ht="15.75">
      <c r="A51" s="19" t="s">
        <v>53</v>
      </c>
      <c r="B51" s="19"/>
      <c r="C51" s="19"/>
    </row>
  </sheetData>
  <mergeCells count="1">
    <mergeCell ref="A1:C3"/>
  </mergeCells>
  <conditionalFormatting sqref="C1:C1048576">
    <cfRule type="containsText" dxfId="6" priority="1" operator="containsText" text="Comprar Mais">
      <formula>NOT(ISERROR(SEARCH("Comprar Mais",C1)))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67234-84A3-44AA-8B23-DFB1A8B74BB9}">
  <dimension ref="A1:H66"/>
  <sheetViews>
    <sheetView tabSelected="1" workbookViewId="0">
      <selection activeCell="H3" sqref="H1:H3"/>
    </sheetView>
  </sheetViews>
  <sheetFormatPr defaultRowHeight="15"/>
  <cols>
    <col min="1" max="1" width="53.5703125" bestFit="1" customWidth="1"/>
    <col min="2" max="2" width="10.85546875" customWidth="1"/>
    <col min="3" max="3" width="11.7109375" customWidth="1"/>
    <col min="4" max="4" width="13.7109375" bestFit="1" customWidth="1"/>
    <col min="8" max="8" width="16.5703125" bestFit="1" customWidth="1"/>
    <col min="9" max="9" width="12.42578125" bestFit="1" customWidth="1"/>
  </cols>
  <sheetData>
    <row r="1" spans="1:8">
      <c r="A1" s="25" t="s">
        <v>54</v>
      </c>
      <c r="B1" s="25" t="s">
        <v>55</v>
      </c>
      <c r="C1" s="25" t="s">
        <v>56</v>
      </c>
      <c r="D1" s="25" t="s">
        <v>57</v>
      </c>
      <c r="E1" s="25" t="s">
        <v>58</v>
      </c>
      <c r="H1" s="29" t="s">
        <v>59</v>
      </c>
    </row>
    <row r="2" spans="1:8">
      <c r="A2" s="21" t="s">
        <v>60</v>
      </c>
      <c r="B2" s="27" t="s">
        <v>61</v>
      </c>
      <c r="C2" s="21">
        <f>86.92*2</f>
        <v>173.84</v>
      </c>
      <c r="D2" s="27" t="s">
        <v>62</v>
      </c>
      <c r="E2" s="28" t="s">
        <v>63</v>
      </c>
      <c r="H2" s="20">
        <f>SUM(C2,C8,C14,C20,C23,C28,C34,C38,C43,C48,C53,C58,C63,)</f>
        <v>1156.18</v>
      </c>
    </row>
    <row r="3" spans="1:8">
      <c r="A3" s="21" t="s">
        <v>60</v>
      </c>
      <c r="B3" s="21" t="s">
        <v>61</v>
      </c>
      <c r="C3" s="21" t="s">
        <v>64</v>
      </c>
      <c r="D3" s="21" t="s">
        <v>65</v>
      </c>
      <c r="E3" s="21" t="s">
        <v>64</v>
      </c>
    </row>
    <row r="4" spans="1:8">
      <c r="A4" s="21" t="s">
        <v>60</v>
      </c>
      <c r="B4" s="27" t="s">
        <v>61</v>
      </c>
      <c r="C4" s="21" t="s">
        <v>64</v>
      </c>
      <c r="D4" s="21" t="s">
        <v>66</v>
      </c>
      <c r="E4" s="21" t="s">
        <v>64</v>
      </c>
    </row>
    <row r="5" spans="1:8">
      <c r="A5" s="21" t="s">
        <v>60</v>
      </c>
      <c r="B5" s="21" t="s">
        <v>61</v>
      </c>
      <c r="C5" s="21" t="s">
        <v>64</v>
      </c>
      <c r="D5" s="21" t="s">
        <v>67</v>
      </c>
      <c r="E5" s="21" t="s">
        <v>64</v>
      </c>
    </row>
    <row r="6" spans="1:8">
      <c r="A6" s="24"/>
      <c r="B6" s="24"/>
      <c r="C6" s="24"/>
      <c r="D6" s="24"/>
      <c r="E6" s="24"/>
    </row>
    <row r="7" spans="1:8">
      <c r="A7" s="23" t="s">
        <v>54</v>
      </c>
      <c r="B7" s="23" t="s">
        <v>55</v>
      </c>
      <c r="C7" s="23" t="s">
        <v>56</v>
      </c>
      <c r="D7" s="23" t="s">
        <v>57</v>
      </c>
      <c r="E7" s="23" t="s">
        <v>58</v>
      </c>
    </row>
    <row r="8" spans="1:8">
      <c r="A8" s="21" t="s">
        <v>68</v>
      </c>
      <c r="B8" s="21" t="s">
        <v>69</v>
      </c>
      <c r="C8" s="21">
        <f>2*114.28</f>
        <v>228.56</v>
      </c>
      <c r="D8" s="21" t="s">
        <v>62</v>
      </c>
      <c r="E8" s="22" t="s">
        <v>63</v>
      </c>
    </row>
    <row r="9" spans="1:8">
      <c r="A9" s="21" t="s">
        <v>68</v>
      </c>
      <c r="B9" s="21" t="s">
        <v>69</v>
      </c>
      <c r="C9" s="21">
        <f>86.14*8</f>
        <v>689.12</v>
      </c>
      <c r="D9" s="21" t="s">
        <v>66</v>
      </c>
      <c r="E9" s="22" t="s">
        <v>63</v>
      </c>
      <c r="G9" s="18"/>
    </row>
    <row r="10" spans="1:8">
      <c r="A10" s="21" t="s">
        <v>68</v>
      </c>
      <c r="B10" s="21" t="s">
        <v>69</v>
      </c>
      <c r="C10" s="21">
        <f>2*218.4</f>
        <v>436.8</v>
      </c>
      <c r="D10" s="21" t="s">
        <v>70</v>
      </c>
      <c r="E10" s="22" t="s">
        <v>63</v>
      </c>
    </row>
    <row r="11" spans="1:8">
      <c r="A11" s="24"/>
      <c r="B11" s="24"/>
      <c r="C11" s="24"/>
      <c r="D11" s="24"/>
      <c r="E11" s="24"/>
    </row>
    <row r="12" spans="1:8">
      <c r="A12" s="23" t="s">
        <v>54</v>
      </c>
      <c r="B12" s="23" t="s">
        <v>55</v>
      </c>
      <c r="C12" s="23" t="s">
        <v>56</v>
      </c>
      <c r="D12" s="23" t="s">
        <v>57</v>
      </c>
      <c r="E12" s="23" t="s">
        <v>58</v>
      </c>
    </row>
    <row r="13" spans="1:8">
      <c r="A13" s="21" t="s">
        <v>71</v>
      </c>
      <c r="B13" s="21" t="s">
        <v>72</v>
      </c>
      <c r="C13" s="21">
        <v>22.54</v>
      </c>
      <c r="D13" s="21" t="s">
        <v>66</v>
      </c>
      <c r="E13" s="22" t="s">
        <v>63</v>
      </c>
      <c r="G13" s="18"/>
    </row>
    <row r="14" spans="1:8">
      <c r="A14" s="21" t="s">
        <v>71</v>
      </c>
      <c r="B14" s="21" t="s">
        <v>72</v>
      </c>
      <c r="C14" s="21">
        <v>8.09</v>
      </c>
      <c r="D14" s="21" t="s">
        <v>62</v>
      </c>
      <c r="E14" s="30" t="s">
        <v>73</v>
      </c>
    </row>
    <row r="15" spans="1:8">
      <c r="A15" s="21" t="s">
        <v>71</v>
      </c>
      <c r="B15" s="21" t="s">
        <v>72</v>
      </c>
      <c r="C15" s="21" t="s">
        <v>64</v>
      </c>
      <c r="D15" s="21" t="s">
        <v>67</v>
      </c>
      <c r="E15" s="21" t="s">
        <v>64</v>
      </c>
    </row>
    <row r="16" spans="1:8">
      <c r="A16" s="21" t="s">
        <v>71</v>
      </c>
      <c r="B16" s="21" t="s">
        <v>72</v>
      </c>
      <c r="C16" s="21">
        <v>19</v>
      </c>
      <c r="D16" s="21" t="s">
        <v>65</v>
      </c>
      <c r="E16" s="22" t="s">
        <v>63</v>
      </c>
    </row>
    <row r="17" spans="1:6">
      <c r="A17" s="24"/>
      <c r="B17" s="24"/>
      <c r="C17" s="24"/>
      <c r="D17" s="24"/>
      <c r="E17" s="24"/>
    </row>
    <row r="18" spans="1:6">
      <c r="A18" s="23" t="s">
        <v>54</v>
      </c>
      <c r="B18" s="23" t="s">
        <v>55</v>
      </c>
      <c r="C18" s="23" t="s">
        <v>56</v>
      </c>
      <c r="D18" s="23" t="s">
        <v>57</v>
      </c>
      <c r="E18" s="23" t="s">
        <v>58</v>
      </c>
    </row>
    <row r="19" spans="1:6">
      <c r="A19" s="21" t="s">
        <v>74</v>
      </c>
      <c r="B19" s="21" t="s">
        <v>64</v>
      </c>
      <c r="C19" s="21">
        <v>21.9</v>
      </c>
      <c r="D19" s="21" t="s">
        <v>66</v>
      </c>
      <c r="E19" s="22" t="s">
        <v>63</v>
      </c>
    </row>
    <row r="20" spans="1:6">
      <c r="A20" s="21" t="s">
        <v>74</v>
      </c>
      <c r="B20" s="21" t="s">
        <v>64</v>
      </c>
      <c r="C20" s="21">
        <v>34.99</v>
      </c>
      <c r="D20" s="21" t="s">
        <v>62</v>
      </c>
      <c r="E20" s="22" t="s">
        <v>63</v>
      </c>
    </row>
    <row r="21" spans="1:6">
      <c r="A21" s="24"/>
      <c r="B21" s="24"/>
      <c r="C21" s="24"/>
      <c r="D21" s="24"/>
      <c r="E21" s="24"/>
    </row>
    <row r="22" spans="1:6">
      <c r="A22" s="25" t="s">
        <v>54</v>
      </c>
      <c r="B22" s="25" t="s">
        <v>55</v>
      </c>
      <c r="C22" s="25" t="s">
        <v>56</v>
      </c>
      <c r="D22" s="25" t="s">
        <v>57</v>
      </c>
      <c r="E22" s="25" t="s">
        <v>58</v>
      </c>
    </row>
    <row r="23" spans="1:6">
      <c r="A23" s="21" t="s">
        <v>75</v>
      </c>
      <c r="B23" s="21" t="s">
        <v>64</v>
      </c>
      <c r="C23" s="21">
        <v>65</v>
      </c>
      <c r="D23" s="21" t="s">
        <v>62</v>
      </c>
      <c r="E23" s="22" t="s">
        <v>63</v>
      </c>
    </row>
    <row r="24" spans="1:6">
      <c r="A24" s="21" t="s">
        <v>75</v>
      </c>
      <c r="B24" s="21" t="s">
        <v>64</v>
      </c>
      <c r="C24" s="21">
        <v>59.9</v>
      </c>
      <c r="D24" s="21" t="s">
        <v>66</v>
      </c>
      <c r="E24" s="22" t="s">
        <v>63</v>
      </c>
    </row>
    <row r="25" spans="1:6">
      <c r="A25" s="21" t="s">
        <v>75</v>
      </c>
      <c r="B25" s="21" t="s">
        <v>64</v>
      </c>
      <c r="C25" s="21">
        <v>79.66</v>
      </c>
      <c r="D25" s="21" t="s">
        <v>65</v>
      </c>
      <c r="E25" s="22" t="s">
        <v>63</v>
      </c>
    </row>
    <row r="26" spans="1:6">
      <c r="A26" s="24"/>
      <c r="B26" s="24"/>
      <c r="C26" s="24"/>
      <c r="D26" s="24"/>
      <c r="E26" s="24"/>
    </row>
    <row r="27" spans="1:6">
      <c r="A27" s="23" t="s">
        <v>54</v>
      </c>
      <c r="B27" s="23" t="s">
        <v>55</v>
      </c>
      <c r="C27" s="23" t="s">
        <v>56</v>
      </c>
      <c r="D27" s="23" t="s">
        <v>57</v>
      </c>
      <c r="E27" s="23" t="s">
        <v>58</v>
      </c>
    </row>
    <row r="28" spans="1:6">
      <c r="A28" s="21" t="s">
        <v>76</v>
      </c>
      <c r="B28" s="21" t="s">
        <v>77</v>
      </c>
      <c r="C28" s="21">
        <v>36.090000000000003</v>
      </c>
      <c r="D28" s="21" t="s">
        <v>62</v>
      </c>
      <c r="E28" s="22" t="s">
        <v>63</v>
      </c>
      <c r="F28">
        <v>2600</v>
      </c>
    </row>
    <row r="29" spans="1:6">
      <c r="A29" s="21" t="s">
        <v>76</v>
      </c>
      <c r="B29" s="21" t="s">
        <v>77</v>
      </c>
      <c r="C29" s="21">
        <v>47.9</v>
      </c>
      <c r="D29" s="21" t="s">
        <v>66</v>
      </c>
      <c r="E29" s="22" t="s">
        <v>63</v>
      </c>
    </row>
    <row r="30" spans="1:6">
      <c r="A30" s="21" t="s">
        <v>76</v>
      </c>
      <c r="B30" s="21" t="s">
        <v>77</v>
      </c>
      <c r="C30" s="21">
        <v>99</v>
      </c>
      <c r="D30" s="21" t="s">
        <v>65</v>
      </c>
      <c r="E30" s="22" t="s">
        <v>63</v>
      </c>
    </row>
    <row r="31" spans="1:6">
      <c r="A31" s="24"/>
      <c r="B31" s="24"/>
      <c r="C31" s="24"/>
      <c r="D31" s="24"/>
      <c r="E31" s="24"/>
    </row>
    <row r="32" spans="1:6">
      <c r="A32" s="25" t="s">
        <v>54</v>
      </c>
      <c r="B32" s="25" t="s">
        <v>55</v>
      </c>
      <c r="C32" s="25" t="s">
        <v>56</v>
      </c>
      <c r="D32" s="25" t="s">
        <v>57</v>
      </c>
      <c r="E32" s="25" t="s">
        <v>58</v>
      </c>
    </row>
    <row r="33" spans="1:5">
      <c r="A33" s="21" t="s">
        <v>78</v>
      </c>
      <c r="B33" s="21" t="s">
        <v>79</v>
      </c>
      <c r="C33" s="21">
        <v>189.91</v>
      </c>
      <c r="D33" s="21" t="s">
        <v>66</v>
      </c>
      <c r="E33" s="22" t="s">
        <v>63</v>
      </c>
    </row>
    <row r="34" spans="1:5">
      <c r="A34" s="21" t="s">
        <v>78</v>
      </c>
      <c r="B34" s="21" t="s">
        <v>79</v>
      </c>
      <c r="C34" s="21">
        <v>209.48</v>
      </c>
      <c r="D34" s="21" t="s">
        <v>62</v>
      </c>
      <c r="E34" s="22" t="s">
        <v>63</v>
      </c>
    </row>
    <row r="35" spans="1:5">
      <c r="A35" s="21" t="s">
        <v>78</v>
      </c>
      <c r="B35" s="21" t="s">
        <v>79</v>
      </c>
      <c r="C35" s="21">
        <f>254+59</f>
        <v>313</v>
      </c>
      <c r="D35" s="21" t="s">
        <v>79</v>
      </c>
      <c r="E35" s="22" t="s">
        <v>63</v>
      </c>
    </row>
    <row r="36" spans="1:5">
      <c r="A36" s="24"/>
      <c r="B36" s="24"/>
      <c r="C36" s="24"/>
      <c r="D36" s="24"/>
      <c r="E36" s="24"/>
    </row>
    <row r="37" spans="1:5">
      <c r="A37" s="25" t="s">
        <v>54</v>
      </c>
      <c r="B37" s="25" t="s">
        <v>55</v>
      </c>
      <c r="C37" s="25" t="s">
        <v>56</v>
      </c>
      <c r="D37" s="25" t="s">
        <v>57</v>
      </c>
      <c r="E37" s="25" t="s">
        <v>58</v>
      </c>
    </row>
    <row r="38" spans="1:5">
      <c r="A38" s="21" t="s">
        <v>80</v>
      </c>
      <c r="B38" s="21" t="s">
        <v>81</v>
      </c>
      <c r="C38" s="21">
        <v>209.7</v>
      </c>
      <c r="D38" s="21" t="s">
        <v>62</v>
      </c>
      <c r="E38" s="22" t="s">
        <v>63</v>
      </c>
    </row>
    <row r="39" spans="1:5">
      <c r="A39" s="21" t="s">
        <v>80</v>
      </c>
      <c r="B39" s="21" t="s">
        <v>81</v>
      </c>
      <c r="C39" s="21">
        <v>260</v>
      </c>
      <c r="D39" s="21" t="s">
        <v>62</v>
      </c>
      <c r="E39" s="22" t="s">
        <v>63</v>
      </c>
    </row>
    <row r="40" spans="1:5">
      <c r="A40" s="21" t="s">
        <v>80</v>
      </c>
      <c r="B40" s="21" t="s">
        <v>82</v>
      </c>
      <c r="C40" s="21">
        <v>322.51</v>
      </c>
      <c r="D40" s="21" t="s">
        <v>66</v>
      </c>
      <c r="E40" s="26" t="s">
        <v>63</v>
      </c>
    </row>
    <row r="41" spans="1:5">
      <c r="A41" s="24"/>
      <c r="B41" s="24"/>
      <c r="C41" s="24"/>
      <c r="D41" s="24"/>
      <c r="E41" s="24"/>
    </row>
    <row r="42" spans="1:5">
      <c r="A42" s="23" t="s">
        <v>54</v>
      </c>
      <c r="B42" s="23" t="s">
        <v>55</v>
      </c>
      <c r="C42" s="23" t="s">
        <v>56</v>
      </c>
      <c r="D42" s="23" t="s">
        <v>57</v>
      </c>
      <c r="E42" s="23" t="s">
        <v>58</v>
      </c>
    </row>
    <row r="43" spans="1:5">
      <c r="A43" s="21" t="s">
        <v>83</v>
      </c>
      <c r="B43" s="21" t="s">
        <v>84</v>
      </c>
      <c r="C43" s="21">
        <v>25</v>
      </c>
      <c r="D43" s="21" t="s">
        <v>62</v>
      </c>
      <c r="E43" s="22" t="s">
        <v>63</v>
      </c>
    </row>
    <row r="44" spans="1:5">
      <c r="A44" s="21" t="s">
        <v>83</v>
      </c>
      <c r="B44" s="21" t="s">
        <v>84</v>
      </c>
      <c r="C44" s="21">
        <f>17.9+17.51</f>
        <v>35.409999999999997</v>
      </c>
      <c r="D44" s="21" t="s">
        <v>85</v>
      </c>
      <c r="E44" s="22" t="s">
        <v>63</v>
      </c>
    </row>
    <row r="45" spans="1:5">
      <c r="A45" s="21" t="s">
        <v>83</v>
      </c>
      <c r="B45" s="21" t="s">
        <v>84</v>
      </c>
      <c r="C45" s="21">
        <v>21.9</v>
      </c>
      <c r="D45" s="21" t="s">
        <v>66</v>
      </c>
      <c r="E45" s="22" t="s">
        <v>63</v>
      </c>
    </row>
    <row r="46" spans="1:5">
      <c r="A46" s="24"/>
      <c r="B46" s="24"/>
      <c r="C46" s="24"/>
      <c r="D46" s="24"/>
      <c r="E46" s="24"/>
    </row>
    <row r="47" spans="1:5">
      <c r="A47" s="25" t="s">
        <v>54</v>
      </c>
      <c r="B47" s="25" t="s">
        <v>55</v>
      </c>
      <c r="C47" s="25" t="s">
        <v>56</v>
      </c>
      <c r="D47" s="25" t="s">
        <v>57</v>
      </c>
      <c r="E47" s="25" t="s">
        <v>58</v>
      </c>
    </row>
    <row r="48" spans="1:5">
      <c r="A48" s="21" t="s">
        <v>86</v>
      </c>
      <c r="B48" s="21" t="s">
        <v>84</v>
      </c>
      <c r="C48" s="21">
        <f>19*2</f>
        <v>38</v>
      </c>
      <c r="D48" s="21" t="s">
        <v>62</v>
      </c>
      <c r="E48" s="22" t="s">
        <v>63</v>
      </c>
    </row>
    <row r="49" spans="1:5">
      <c r="A49" s="21" t="s">
        <v>86</v>
      </c>
      <c r="B49" s="21" t="s">
        <v>84</v>
      </c>
      <c r="C49" s="21">
        <f>24*2</f>
        <v>48</v>
      </c>
      <c r="D49" s="21" t="s">
        <v>65</v>
      </c>
      <c r="E49" s="22" t="s">
        <v>63</v>
      </c>
    </row>
    <row r="50" spans="1:5">
      <c r="A50" s="21" t="s">
        <v>86</v>
      </c>
      <c r="B50" s="21" t="s">
        <v>84</v>
      </c>
      <c r="C50" s="21">
        <f>18.51+16.9*2</f>
        <v>52.31</v>
      </c>
      <c r="D50" s="21" t="s">
        <v>87</v>
      </c>
      <c r="E50" s="22" t="s">
        <v>63</v>
      </c>
    </row>
    <row r="51" spans="1:5">
      <c r="A51" s="24"/>
      <c r="B51" s="24"/>
      <c r="C51" s="24"/>
      <c r="D51" s="24"/>
      <c r="E51" s="24"/>
    </row>
    <row r="52" spans="1:5">
      <c r="A52" s="25" t="s">
        <v>54</v>
      </c>
      <c r="B52" s="25" t="s">
        <v>55</v>
      </c>
      <c r="C52" s="25" t="s">
        <v>56</v>
      </c>
      <c r="D52" s="25" t="s">
        <v>57</v>
      </c>
      <c r="E52" s="25" t="s">
        <v>58</v>
      </c>
    </row>
    <row r="53" spans="1:5">
      <c r="A53" s="21" t="s">
        <v>88</v>
      </c>
      <c r="B53" s="21" t="s">
        <v>84</v>
      </c>
      <c r="C53" s="21">
        <v>38.880000000000003</v>
      </c>
      <c r="D53" s="21" t="s">
        <v>62</v>
      </c>
      <c r="E53" s="22" t="s">
        <v>63</v>
      </c>
    </row>
    <row r="54" spans="1:5">
      <c r="A54" s="21" t="s">
        <v>88</v>
      </c>
      <c r="B54" s="21" t="s">
        <v>84</v>
      </c>
      <c r="C54" s="21">
        <v>60</v>
      </c>
      <c r="D54" s="21" t="s">
        <v>67</v>
      </c>
      <c r="E54" s="22" t="s">
        <v>63</v>
      </c>
    </row>
    <row r="55" spans="1:5">
      <c r="A55" s="21" t="s">
        <v>88</v>
      </c>
      <c r="B55" s="21" t="s">
        <v>84</v>
      </c>
      <c r="C55" s="21">
        <v>55.9</v>
      </c>
      <c r="D55" s="21" t="s">
        <v>65</v>
      </c>
      <c r="E55" s="22" t="s">
        <v>63</v>
      </c>
    </row>
    <row r="56" spans="1:5">
      <c r="A56" s="24"/>
      <c r="B56" s="24"/>
      <c r="C56" s="24"/>
      <c r="D56" s="24"/>
      <c r="E56" s="24"/>
    </row>
    <row r="57" spans="1:5">
      <c r="A57" s="25" t="s">
        <v>54</v>
      </c>
      <c r="B57" s="25" t="s">
        <v>55</v>
      </c>
      <c r="C57" s="25" t="s">
        <v>56</v>
      </c>
      <c r="D57" s="25" t="s">
        <v>57</v>
      </c>
      <c r="E57" s="25" t="s">
        <v>58</v>
      </c>
    </row>
    <row r="58" spans="1:5">
      <c r="A58" s="21" t="s">
        <v>89</v>
      </c>
      <c r="B58" s="21" t="s">
        <v>84</v>
      </c>
      <c r="C58" s="21">
        <v>48</v>
      </c>
      <c r="D58" s="21" t="s">
        <v>62</v>
      </c>
      <c r="E58" s="22" t="s">
        <v>63</v>
      </c>
    </row>
    <row r="59" spans="1:5">
      <c r="A59" s="21" t="s">
        <v>89</v>
      </c>
      <c r="B59" s="21" t="s">
        <v>84</v>
      </c>
      <c r="C59" s="21">
        <v>92.15</v>
      </c>
      <c r="D59" s="21" t="s">
        <v>66</v>
      </c>
      <c r="E59" s="22" t="s">
        <v>63</v>
      </c>
    </row>
    <row r="60" spans="1:5">
      <c r="A60" s="21" t="s">
        <v>89</v>
      </c>
      <c r="B60" s="21" t="s">
        <v>84</v>
      </c>
      <c r="C60" s="21">
        <v>157.11000000000001</v>
      </c>
      <c r="D60" s="21" t="s">
        <v>65</v>
      </c>
      <c r="E60" s="22" t="s">
        <v>63</v>
      </c>
    </row>
    <row r="61" spans="1:5">
      <c r="A61" s="24"/>
      <c r="B61" s="24"/>
      <c r="C61" s="24"/>
      <c r="D61" s="24"/>
      <c r="E61" s="24"/>
    </row>
    <row r="62" spans="1:5">
      <c r="A62" s="25" t="s">
        <v>54</v>
      </c>
      <c r="B62" s="25" t="s">
        <v>55</v>
      </c>
      <c r="C62" s="25" t="s">
        <v>56</v>
      </c>
      <c r="D62" s="25" t="s">
        <v>57</v>
      </c>
      <c r="E62" s="25" t="s">
        <v>58</v>
      </c>
    </row>
    <row r="63" spans="1:5">
      <c r="A63" s="21" t="s">
        <v>90</v>
      </c>
      <c r="B63" s="21" t="s">
        <v>84</v>
      </c>
      <c r="C63" s="21">
        <v>40.549999999999997</v>
      </c>
      <c r="D63" s="21" t="s">
        <v>62</v>
      </c>
      <c r="E63" s="22" t="s">
        <v>63</v>
      </c>
    </row>
    <row r="64" spans="1:5">
      <c r="A64" s="21" t="s">
        <v>90</v>
      </c>
      <c r="B64" s="21" t="s">
        <v>84</v>
      </c>
      <c r="C64" s="21">
        <v>38</v>
      </c>
      <c r="D64" s="21" t="s">
        <v>65</v>
      </c>
      <c r="E64" s="22" t="s">
        <v>63</v>
      </c>
    </row>
    <row r="65" spans="1:5">
      <c r="A65" s="21" t="s">
        <v>91</v>
      </c>
      <c r="B65" s="21" t="s">
        <v>84</v>
      </c>
      <c r="C65" s="21">
        <f>13*2</f>
        <v>26</v>
      </c>
      <c r="D65" s="21" t="s">
        <v>66</v>
      </c>
      <c r="E65" s="22" t="s">
        <v>63</v>
      </c>
    </row>
    <row r="66" spans="1:5">
      <c r="A66" s="24"/>
      <c r="B66" s="24"/>
      <c r="C66" s="24"/>
      <c r="D66" s="24"/>
      <c r="E66" s="24"/>
    </row>
  </sheetData>
  <hyperlinks>
    <hyperlink ref="E2" r:id="rId1" xr:uid="{D2CDED0E-A80A-4674-B072-66C285464DAA}"/>
    <hyperlink ref="E8" r:id="rId2" location="polycard_client=search-desktop&amp;be_origin=backend&amp;overlay_label=not_apply&amp;search_layout=grid&amp;position=3&amp;type=product&amp;tracking_id=ccdf7834-f321-48b9-8d77-7ea5babc5e1c&amp;wid=MLB4432887189&amp;sid=search" xr:uid="{6039D01F-278A-48DC-A99E-126ECB8FFFF9}"/>
    <hyperlink ref="E9" r:id="rId3" xr:uid="{10FA3C7F-846B-41A8-8342-E029FF2AD9DF}"/>
    <hyperlink ref="E10" r:id="rId4" xr:uid="{4181AB29-77D1-4AD3-BBF6-15DD3FD90D63}"/>
    <hyperlink ref="E13" r:id="rId5" xr:uid="{151FFD8B-DE74-4049-86A7-B1747FE7F7DC}"/>
    <hyperlink ref="E14" r:id="rId6" location="polycard_client=search-desktop&amp;be_origin=backend&amp;overlay_label=not_apply&amp;search_layout=grid&amp;position=6&amp;type=product&amp;tracking_id=037e76b6-6ee4-4acc-a5f3-76934cadf5e3&amp;wid=MLB7635184460&amp;sid=search" xr:uid="{B2A8C71D-FFB5-4C34-BFF5-AF4FFA823ED7}"/>
    <hyperlink ref="E16" r:id="rId7" xr:uid="{EE97EDDD-D2F5-4DF6-8771-7F18E883BD85}"/>
    <hyperlink ref="E19" r:id="rId8" xr:uid="{62D76397-60CC-4AEF-BFED-DA0D2B86470A}"/>
    <hyperlink ref="E20" r:id="rId9" xr:uid="{9E11BBFC-0F0A-4F15-A2EA-918F399C733A}"/>
    <hyperlink ref="E23" r:id="rId10" xr:uid="{43F122C7-7252-4D53-9653-5255D0235415}"/>
    <hyperlink ref="E24" r:id="rId11" xr:uid="{9D8D82F7-55A6-4EB5-BFFA-C33D3777E49E}"/>
    <hyperlink ref="E25" r:id="rId12" xr:uid="{AB31ED27-2093-405D-A773-9163F57D4718}"/>
    <hyperlink ref="E28" r:id="rId13" xr:uid="{EFFD5427-A6B0-4C04-B1BC-31A21AA15B6B}"/>
    <hyperlink ref="E29" r:id="rId14" xr:uid="{DAC8860E-8B02-483A-860E-AD72E6A7B0E2}"/>
    <hyperlink ref="E30" r:id="rId15" xr:uid="{EA1E5A4B-375C-42CA-B158-43336C95D1A5}"/>
    <hyperlink ref="E33" r:id="rId16" xr:uid="{AFAD330D-21CB-4174-A42D-4CD6153F7EC8}"/>
    <hyperlink ref="E34" r:id="rId17" xr:uid="{92238DD3-A5BD-4F73-93EA-FBAD534C72B8}"/>
    <hyperlink ref="E35" r:id="rId18" xr:uid="{ABF38C83-F146-4111-A606-9FBD8CDC1D07}"/>
    <hyperlink ref="E38" r:id="rId19" location="polycard_client=search-desktop&amp;be_origin=backend&amp;overlay_label=not_apply&amp;search_layout=grid&amp;position=9&amp;type=product&amp;tracking_id=bf0c7ea0-8432-407e-8449-024947c24d3e&amp;wid=MLB7340591342&amp;sid=search" xr:uid="{A4AEB757-6DDB-49AF-AA56-A758D6E914DA}"/>
    <hyperlink ref="E40" r:id="rId20" xr:uid="{3BD0C056-88CE-44BA-88F9-B67C38131274}"/>
    <hyperlink ref="E39" r:id="rId21" location="is_advertising=true&amp;searchVariation=MLBU4970474149&amp;backend_model=search-backend&amp;be_origin=backend&amp;position=1&amp;search_layout=grid&amp;type=pad&amp;tracking_id=294fc33d-c6f4-4243-93ea-64e19e05c44f&amp;ad_domain=VQCATCORE_LST&amp;ad_position=1&amp;ad_click_id=ODIzY2YyMTQtZThmMS00OTM0LTkwODAtNzcwMTk3ZDBhODU3" xr:uid="{55519680-F76B-4174-AE6D-0B38323E9E64}"/>
    <hyperlink ref="E43" r:id="rId22" xr:uid="{2F07438D-E38E-45AD-9B89-892EB98B41FB}"/>
    <hyperlink ref="E44" r:id="rId23" xr:uid="{16D8218F-26C4-4665-95CC-092D54DAD4C7}"/>
    <hyperlink ref="E45" r:id="rId24" xr:uid="{D22CA796-A172-453F-8E34-E1CDD45B5DA6}"/>
    <hyperlink ref="E48" r:id="rId25" location="polycard_client=search-desktop&amp;be_origin=backend&amp;overlay_label=not_apply&amp;search_layout=grid&amp;position=9&amp;type=product&amp;tracking_id=400e3624-8921-42a1-ab41-3803ad2378e6&amp;wid=MLB7601674812&amp;sid=search" xr:uid="{B841C9D3-DC3C-428F-8C60-5F984606C1FB}"/>
    <hyperlink ref="E49" r:id="rId26" xr:uid="{7CCB5CF2-4634-4FE1-870D-5D37AF49A064}"/>
    <hyperlink ref="E50" r:id="rId27" xr:uid="{260267D8-EB3B-43BD-B5A9-E8E7D86EDBA4}"/>
    <hyperlink ref="E53" r:id="rId28" xr:uid="{D2BF5E61-5E51-4814-9265-46DCB6E590DE}"/>
    <hyperlink ref="E54" r:id="rId29" xr:uid="{49594F99-37CC-488D-82C8-7E609776C90D}"/>
    <hyperlink ref="E55" r:id="rId30" xr:uid="{F153B014-065D-42C4-81BC-1BC52DD569B2}"/>
    <hyperlink ref="E58" r:id="rId31" xr:uid="{1F25B43E-AAA5-4CE1-B269-56A53B2A7AB5}"/>
    <hyperlink ref="E59" r:id="rId32" xr:uid="{D0750F70-D244-4D22-8645-9702D72AE1F9}"/>
    <hyperlink ref="E60" r:id="rId33" xr:uid="{200E9E71-8471-40BB-B4FE-B0FB4918D5C9}"/>
    <hyperlink ref="E63" r:id="rId34" xr:uid="{5C74C3F7-43B5-434D-A34D-6AABABB7DE07}"/>
    <hyperlink ref="E64" r:id="rId35" xr:uid="{88B19333-D9AA-4170-94DC-F4A1EE3C6A59}"/>
    <hyperlink ref="E65" r:id="rId36" xr:uid="{561DE2A9-3957-4225-9FAE-834CDF576F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2026-09-10T16:59:32Z</dcterms:created>
  <dcterms:modified xsi:type="dcterms:W3CDTF">2026-10-23T10:26:00Z</dcterms:modified>
  <cp:category/>
  <cp:contentStatus/>
</cp:coreProperties>
</file>